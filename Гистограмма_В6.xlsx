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3040" windowHeight="9192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2" i="1"/>
  <c r="M3" i="1" l="1"/>
  <c r="M4" i="1"/>
  <c r="M5" i="1"/>
  <c r="M6" i="1"/>
  <c r="M7" i="1"/>
  <c r="M8" i="1"/>
  <c r="M9" i="1"/>
  <c r="M10" i="1"/>
  <c r="M11" i="1"/>
  <c r="M2" i="1"/>
  <c r="L2" i="1"/>
  <c r="L11" i="1"/>
  <c r="L10" i="1"/>
  <c r="L9" i="1"/>
  <c r="L8" i="1"/>
  <c r="L7" i="1"/>
  <c r="L6" i="1"/>
  <c r="L5" i="1"/>
  <c r="L4" i="1"/>
  <c r="L3" i="1"/>
  <c r="G4" i="1"/>
  <c r="G5" i="1" s="1"/>
  <c r="G6" i="1" s="1"/>
  <c r="G3" i="1"/>
  <c r="G2" i="1"/>
  <c r="G1" i="1"/>
</calcChain>
</file>

<file path=xl/sharedStrings.xml><?xml version="1.0" encoding="utf-8"?>
<sst xmlns="http://schemas.openxmlformats.org/spreadsheetml/2006/main" count="24" uniqueCount="24">
  <si>
    <t>i</t>
  </si>
  <si>
    <t>xi</t>
  </si>
  <si>
    <t>сред. Знач.</t>
  </si>
  <si>
    <t>станд. Откл.</t>
  </si>
  <si>
    <t>нижняя граница</t>
  </si>
  <si>
    <t>верхняя граница</t>
  </si>
  <si>
    <t>размах</t>
  </si>
  <si>
    <t>шаг интервала</t>
  </si>
  <si>
    <t>№</t>
  </si>
  <si>
    <t>Границы</t>
  </si>
  <si>
    <t>45-46,6</t>
  </si>
  <si>
    <t>46,6-48,2</t>
  </si>
  <si>
    <t>48,2-49,8</t>
  </si>
  <si>
    <t>49,8-51,4</t>
  </si>
  <si>
    <t>51,4-53</t>
  </si>
  <si>
    <t>53-54,6</t>
  </si>
  <si>
    <t>54,6-56,2</t>
  </si>
  <si>
    <t>56,2-57,8</t>
  </si>
  <si>
    <t>57,8-59,4</t>
  </si>
  <si>
    <t>59,4-61</t>
  </si>
  <si>
    <t>Частость</t>
  </si>
  <si>
    <t>Частота</t>
  </si>
  <si>
    <t>Плотность частоты</t>
  </si>
  <si>
    <t>В результате анализа установлено, что значения показателя находятся в диапазоне от 45 до 61. Наибольшая частота наблюдается в интервале 57,8–59,4 и составляет 15 наблюдений. По построенной гистограмме видно, что значения распределены по всему заданному диапазону, при этом наиболее часто встречаются значения в интервале 57,8–59,4.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</si>
</sst>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/>
              <a:t>Гистограмма частот количества собранных узлов за смену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Лист1!$K$2:$K$11</c:f>
              <c:strCache>
                <c:ptCount val="10"/>
                <c:pt idx="0">
                  <c:v>45-46,6</c:v>
                </c:pt>
                <c:pt idx="1">
                  <c:v>46,6-48,2</c:v>
                </c:pt>
                <c:pt idx="2">
                  <c:v>48,2-49,8</c:v>
                </c:pt>
                <c:pt idx="3">
                  <c:v>49,8-51,4</c:v>
                </c:pt>
                <c:pt idx="4">
                  <c:v>51,4-53</c:v>
                </c:pt>
                <c:pt idx="5">
                  <c:v>53-54,6</c:v>
                </c:pt>
                <c:pt idx="6">
                  <c:v>54,6-56,2</c:v>
                </c:pt>
                <c:pt idx="7">
                  <c:v>56,2-57,8</c:v>
                </c:pt>
                <c:pt idx="8">
                  <c:v>57,8-59,4</c:v>
                </c:pt>
                <c:pt idx="9">
                  <c:v>59,4-61</c:v>
                </c:pt>
              </c:strCache>
            </c:strRef>
          </c:cat>
          <c:val>
            <c:numRef>
              <c:f>Лист1!$N$2:$N$11</c:f>
              <c:numCache>
                <c:formatCode>General</c:formatCode>
                <c:ptCount val="10"/>
                <c:pt idx="0">
                  <c:v>2.4999999999999998E-2</c:v>
                </c:pt>
                <c:pt idx="1">
                  <c:v>6.8749999999999992E-2</c:v>
                </c:pt>
                <c:pt idx="2">
                  <c:v>7.4999999999999997E-2</c:v>
                </c:pt>
                <c:pt idx="3">
                  <c:v>7.4999999999999997E-2</c:v>
                </c:pt>
                <c:pt idx="4">
                  <c:v>5.6249999999999994E-2</c:v>
                </c:pt>
                <c:pt idx="5">
                  <c:v>6.25E-2</c:v>
                </c:pt>
                <c:pt idx="6">
                  <c:v>8.1250000000000003E-2</c:v>
                </c:pt>
                <c:pt idx="7">
                  <c:v>4.3750000000000004E-2</c:v>
                </c:pt>
                <c:pt idx="8">
                  <c:v>9.3749999999999986E-2</c:v>
                </c:pt>
                <c:pt idx="9">
                  <c:v>4.3750000000000004E-2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24-400C-A960-B9188906D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36941328"/>
        <c:axId val="336938704"/>
      </c:barChart>
      <c:catAx>
        <c:axId val="336941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Плотность частоты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938704"/>
        <c:crosses val="autoZero"/>
        <c:auto val="1"/>
        <c:lblAlgn val="ctr"/>
        <c:lblOffset val="100"/>
        <c:noMultiLvlLbl val="0"/>
      </c:catAx>
      <c:valAx>
        <c:axId val="33693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Интервалы количества собранных узлов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2.7777777777777776E-2"/>
              <c:y val="0.164009324009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3694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12</xdr:row>
      <xdr:rowOff>0</xdr:rowOff>
    </xdr:from>
    <xdr:to>
      <xdr:col>11</xdr:col>
      <xdr:colOff>365760</xdr:colOff>
      <xdr:row>23</xdr:row>
      <xdr:rowOff>209550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1"/>
  <sheetViews>
    <sheetView tabSelected="1" workbookViewId="0">
      <selection activeCell="N21" sqref="N21"/>
    </sheetView>
  </sheetViews>
  <sheetFormatPr defaultRowHeight="14.4" x14ac:dyDescent="0.3"/>
  <cols>
    <col min="6" max="6" width="16.5546875" customWidth="1"/>
    <col min="14" max="14" width="17.21875" customWidth="1"/>
  </cols>
  <sheetData>
    <row r="1" spans="2:14" ht="18" x14ac:dyDescent="0.3">
      <c r="B1" s="1" t="s">
        <v>0</v>
      </c>
      <c r="C1" s="1" t="s">
        <v>1</v>
      </c>
      <c r="F1" t="s">
        <v>2</v>
      </c>
      <c r="G1">
        <f>AVERAGE(C2:C101)</f>
        <v>53.24</v>
      </c>
      <c r="J1" t="s">
        <v>8</v>
      </c>
      <c r="K1" t="s">
        <v>9</v>
      </c>
      <c r="L1" t="s">
        <v>21</v>
      </c>
      <c r="M1" t="s">
        <v>20</v>
      </c>
      <c r="N1" t="s">
        <v>22</v>
      </c>
    </row>
    <row r="2" spans="2:14" ht="18" x14ac:dyDescent="0.3">
      <c r="B2" s="1">
        <v>1</v>
      </c>
      <c r="C2" s="1">
        <v>45</v>
      </c>
      <c r="F2" t="s">
        <v>3</v>
      </c>
      <c r="G2">
        <f>STDEV(C2:C101)</f>
        <v>4.2761258780878437</v>
      </c>
      <c r="J2">
        <v>1</v>
      </c>
      <c r="K2" t="s">
        <v>10</v>
      </c>
      <c r="L2">
        <f>COUNTIF($C$2:$C$101,45)+COUNTIF($C$2:$C$101,46)</f>
        <v>4</v>
      </c>
      <c r="M2">
        <f>L2/100</f>
        <v>0.04</v>
      </c>
      <c r="N2">
        <f>M2/$G$6</f>
        <v>2.4999999999999998E-2</v>
      </c>
    </row>
    <row r="3" spans="2:14" ht="18" x14ac:dyDescent="0.3">
      <c r="B3" s="1">
        <v>2</v>
      </c>
      <c r="C3" s="1">
        <v>46</v>
      </c>
      <c r="F3" t="s">
        <v>4</v>
      </c>
      <c r="G3">
        <f>MIN(C2:C101)</f>
        <v>45</v>
      </c>
      <c r="J3">
        <v>2</v>
      </c>
      <c r="K3" t="s">
        <v>11</v>
      </c>
      <c r="L3">
        <f>COUNTIF($C$2:$C$101,47)+COUNTIF($C$2:$C$101,48)</f>
        <v>11</v>
      </c>
      <c r="M3">
        <f t="shared" ref="M3:M11" si="0">L3/100</f>
        <v>0.11</v>
      </c>
      <c r="N3">
        <f t="shared" ref="N3:N11" si="1">M3/$G$6</f>
        <v>6.8749999999999992E-2</v>
      </c>
    </row>
    <row r="4" spans="2:14" ht="18" x14ac:dyDescent="0.3">
      <c r="B4" s="1">
        <v>3</v>
      </c>
      <c r="C4" s="1">
        <v>46</v>
      </c>
      <c r="F4" t="s">
        <v>5</v>
      </c>
      <c r="G4">
        <f>MAX(C2:C101)</f>
        <v>61</v>
      </c>
      <c r="J4">
        <v>3</v>
      </c>
      <c r="K4" t="s">
        <v>12</v>
      </c>
      <c r="L4">
        <f>COUNTIF($C$2:$C$101,49)</f>
        <v>12</v>
      </c>
      <c r="M4">
        <f t="shared" si="0"/>
        <v>0.12</v>
      </c>
      <c r="N4">
        <f t="shared" si="1"/>
        <v>7.4999999999999997E-2</v>
      </c>
    </row>
    <row r="5" spans="2:14" ht="18" x14ac:dyDescent="0.3">
      <c r="B5" s="1">
        <v>4</v>
      </c>
      <c r="C5" s="1">
        <v>46</v>
      </c>
      <c r="F5" t="s">
        <v>6</v>
      </c>
      <c r="G5">
        <f>G4-G3</f>
        <v>16</v>
      </c>
      <c r="J5">
        <v>4</v>
      </c>
      <c r="K5" t="s">
        <v>13</v>
      </c>
      <c r="L5">
        <f>COUNTIF($C$2:$C$101,50)+COUNTIF($C$2:$C$101,51)</f>
        <v>12</v>
      </c>
      <c r="M5">
        <f t="shared" si="0"/>
        <v>0.12</v>
      </c>
      <c r="N5">
        <f t="shared" si="1"/>
        <v>7.4999999999999997E-2</v>
      </c>
    </row>
    <row r="6" spans="2:14" ht="18" x14ac:dyDescent="0.3">
      <c r="B6" s="1">
        <v>5</v>
      </c>
      <c r="C6" s="1">
        <v>47</v>
      </c>
      <c r="F6" t="s">
        <v>7</v>
      </c>
      <c r="G6">
        <f>G5/10</f>
        <v>1.6</v>
      </c>
      <c r="J6">
        <v>5</v>
      </c>
      <c r="K6" t="s">
        <v>14</v>
      </c>
      <c r="L6">
        <f>COUNTIF($C$2:$C$101,52)</f>
        <v>9</v>
      </c>
      <c r="M6">
        <f t="shared" si="0"/>
        <v>0.09</v>
      </c>
      <c r="N6">
        <f t="shared" si="1"/>
        <v>5.6249999999999994E-2</v>
      </c>
    </row>
    <row r="7" spans="2:14" ht="18" x14ac:dyDescent="0.3">
      <c r="B7" s="1">
        <v>6</v>
      </c>
      <c r="C7" s="1">
        <v>47</v>
      </c>
      <c r="J7">
        <v>6</v>
      </c>
      <c r="K7" t="s">
        <v>15</v>
      </c>
      <c r="L7">
        <f>COUNTIF($C$2:$C$101,53)+COUNTIF($C$2:$C$101,54)</f>
        <v>10</v>
      </c>
      <c r="M7">
        <f t="shared" si="0"/>
        <v>0.1</v>
      </c>
      <c r="N7">
        <f t="shared" si="1"/>
        <v>6.25E-2</v>
      </c>
    </row>
    <row r="8" spans="2:14" ht="18" x14ac:dyDescent="0.3">
      <c r="B8" s="1">
        <v>7</v>
      </c>
      <c r="C8" s="1">
        <v>48</v>
      </c>
      <c r="J8">
        <v>7</v>
      </c>
      <c r="K8" t="s">
        <v>16</v>
      </c>
      <c r="L8">
        <f>COUNTIF($C$2:$C$101,55)+COUNTIF($C$2:$C$101,56)</f>
        <v>13</v>
      </c>
      <c r="M8">
        <f t="shared" si="0"/>
        <v>0.13</v>
      </c>
      <c r="N8">
        <f t="shared" si="1"/>
        <v>8.1250000000000003E-2</v>
      </c>
    </row>
    <row r="9" spans="2:14" ht="18" x14ac:dyDescent="0.3">
      <c r="B9" s="1">
        <v>8</v>
      </c>
      <c r="C9" s="1">
        <v>48</v>
      </c>
      <c r="J9">
        <v>8</v>
      </c>
      <c r="K9" t="s">
        <v>17</v>
      </c>
      <c r="L9">
        <f>COUNTIF($C$2:$C$101,57)</f>
        <v>7</v>
      </c>
      <c r="M9">
        <f t="shared" si="0"/>
        <v>7.0000000000000007E-2</v>
      </c>
      <c r="N9">
        <f t="shared" si="1"/>
        <v>4.3750000000000004E-2</v>
      </c>
    </row>
    <row r="10" spans="2:14" ht="18" x14ac:dyDescent="0.3">
      <c r="B10" s="1">
        <v>9</v>
      </c>
      <c r="C10" s="1">
        <v>48</v>
      </c>
      <c r="J10">
        <v>9</v>
      </c>
      <c r="K10" t="s">
        <v>18</v>
      </c>
      <c r="L10">
        <f>COUNTIF($C$2:$C$101,58)+COUNTIF($C$2:$C$101,59)</f>
        <v>15</v>
      </c>
      <c r="M10">
        <f t="shared" si="0"/>
        <v>0.15</v>
      </c>
      <c r="N10">
        <f t="shared" si="1"/>
        <v>9.3749999999999986E-2</v>
      </c>
    </row>
    <row r="11" spans="2:14" ht="18" x14ac:dyDescent="0.3">
      <c r="B11" s="1">
        <v>10</v>
      </c>
      <c r="C11" s="1">
        <v>48</v>
      </c>
      <c r="J11">
        <v>10</v>
      </c>
      <c r="K11" t="s">
        <v>19</v>
      </c>
      <c r="L11">
        <f>COUNTIF($C$2:$C$101,60)+COUNTIF($C$2:$C$101,61)</f>
        <v>7</v>
      </c>
      <c r="M11">
        <f t="shared" si="0"/>
        <v>7.0000000000000007E-2</v>
      </c>
      <c r="N11">
        <f t="shared" si="1"/>
        <v>4.3750000000000004E-2</v>
      </c>
    </row>
    <row r="12" spans="2:14" ht="18" x14ac:dyDescent="0.3">
      <c r="B12" s="1">
        <v>11</v>
      </c>
      <c r="C12" s="1">
        <v>48</v>
      </c>
    </row>
    <row r="13" spans="2:14" ht="18" x14ac:dyDescent="0.3">
      <c r="B13" s="1">
        <v>12</v>
      </c>
      <c r="C13" s="1">
        <v>48</v>
      </c>
    </row>
    <row r="14" spans="2:14" ht="18" x14ac:dyDescent="0.3">
      <c r="B14" s="1">
        <v>13</v>
      </c>
      <c r="C14" s="1">
        <v>48</v>
      </c>
      <c r="N14" t="s">
        <v>23</v>
      </c>
    </row>
    <row r="15" spans="2:14" ht="18" x14ac:dyDescent="0.3">
      <c r="B15" s="1">
        <v>14</v>
      </c>
      <c r="C15" s="1">
        <v>48</v>
      </c>
    </row>
    <row r="16" spans="2:14" ht="18" x14ac:dyDescent="0.3">
      <c r="B16" s="1">
        <v>15</v>
      </c>
      <c r="C16" s="1">
        <v>48</v>
      </c>
    </row>
    <row r="17" spans="2:3" ht="18" x14ac:dyDescent="0.3">
      <c r="B17" s="1">
        <v>16</v>
      </c>
      <c r="C17" s="1">
        <v>49</v>
      </c>
    </row>
    <row r="18" spans="2:3" ht="18" x14ac:dyDescent="0.3">
      <c r="B18" s="1">
        <v>17</v>
      </c>
      <c r="C18" s="1">
        <v>49</v>
      </c>
    </row>
    <row r="19" spans="2:3" ht="18" x14ac:dyDescent="0.3">
      <c r="B19" s="1">
        <v>18</v>
      </c>
      <c r="C19" s="1">
        <v>49</v>
      </c>
    </row>
    <row r="20" spans="2:3" ht="18" x14ac:dyDescent="0.3">
      <c r="B20" s="1">
        <v>19</v>
      </c>
      <c r="C20" s="1">
        <v>49</v>
      </c>
    </row>
    <row r="21" spans="2:3" ht="18" x14ac:dyDescent="0.3">
      <c r="B21" s="1">
        <v>20</v>
      </c>
      <c r="C21" s="1">
        <v>49</v>
      </c>
    </row>
    <row r="22" spans="2:3" ht="18" x14ac:dyDescent="0.3">
      <c r="B22" s="1">
        <v>21</v>
      </c>
      <c r="C22" s="1">
        <v>49</v>
      </c>
    </row>
    <row r="23" spans="2:3" ht="18" x14ac:dyDescent="0.3">
      <c r="B23" s="1">
        <v>22</v>
      </c>
      <c r="C23" s="1">
        <v>49</v>
      </c>
    </row>
    <row r="24" spans="2:3" ht="18" x14ac:dyDescent="0.3">
      <c r="B24" s="1">
        <v>23</v>
      </c>
      <c r="C24" s="1">
        <v>49</v>
      </c>
    </row>
    <row r="25" spans="2:3" ht="18" x14ac:dyDescent="0.3">
      <c r="B25" s="1">
        <v>24</v>
      </c>
      <c r="C25" s="1">
        <v>49</v>
      </c>
    </row>
    <row r="26" spans="2:3" ht="18" x14ac:dyDescent="0.3">
      <c r="B26" s="1">
        <v>25</v>
      </c>
      <c r="C26" s="1">
        <v>49</v>
      </c>
    </row>
    <row r="27" spans="2:3" ht="18" x14ac:dyDescent="0.3">
      <c r="B27" s="1">
        <v>26</v>
      </c>
      <c r="C27" s="1">
        <v>49</v>
      </c>
    </row>
    <row r="28" spans="2:3" ht="18" x14ac:dyDescent="0.3">
      <c r="B28" s="1">
        <v>27</v>
      </c>
      <c r="C28" s="1">
        <v>49</v>
      </c>
    </row>
    <row r="29" spans="2:3" ht="18" x14ac:dyDescent="0.3">
      <c r="B29" s="1">
        <v>28</v>
      </c>
      <c r="C29" s="1">
        <v>50</v>
      </c>
    </row>
    <row r="30" spans="2:3" ht="18" x14ac:dyDescent="0.3">
      <c r="B30" s="1">
        <v>29</v>
      </c>
      <c r="C30" s="1">
        <v>50</v>
      </c>
    </row>
    <row r="31" spans="2:3" ht="18" x14ac:dyDescent="0.3">
      <c r="B31" s="1">
        <v>30</v>
      </c>
      <c r="C31" s="1">
        <v>50</v>
      </c>
    </row>
    <row r="32" spans="2:3" ht="18" x14ac:dyDescent="0.3">
      <c r="B32" s="1">
        <v>31</v>
      </c>
      <c r="C32" s="1">
        <v>50</v>
      </c>
    </row>
    <row r="33" spans="2:3" ht="18" x14ac:dyDescent="0.3">
      <c r="B33" s="1">
        <v>32</v>
      </c>
      <c r="C33" s="1">
        <v>50</v>
      </c>
    </row>
    <row r="34" spans="2:3" ht="18" x14ac:dyDescent="0.3">
      <c r="B34" s="1">
        <v>33</v>
      </c>
      <c r="C34" s="1">
        <v>50</v>
      </c>
    </row>
    <row r="35" spans="2:3" ht="18" x14ac:dyDescent="0.3">
      <c r="B35" s="1">
        <v>34</v>
      </c>
      <c r="C35" s="1">
        <v>50</v>
      </c>
    </row>
    <row r="36" spans="2:3" ht="18" x14ac:dyDescent="0.3">
      <c r="B36" s="1">
        <v>35</v>
      </c>
      <c r="C36" s="1">
        <v>51</v>
      </c>
    </row>
    <row r="37" spans="2:3" ht="18" x14ac:dyDescent="0.3">
      <c r="B37" s="1">
        <v>36</v>
      </c>
      <c r="C37" s="1">
        <v>51</v>
      </c>
    </row>
    <row r="38" spans="2:3" ht="18" x14ac:dyDescent="0.3">
      <c r="B38" s="1">
        <v>37</v>
      </c>
      <c r="C38" s="1">
        <v>51</v>
      </c>
    </row>
    <row r="39" spans="2:3" ht="18" x14ac:dyDescent="0.3">
      <c r="B39" s="1">
        <v>38</v>
      </c>
      <c r="C39" s="1">
        <v>51</v>
      </c>
    </row>
    <row r="40" spans="2:3" ht="18" x14ac:dyDescent="0.3">
      <c r="B40" s="1">
        <v>39</v>
      </c>
      <c r="C40" s="1">
        <v>51</v>
      </c>
    </row>
    <row r="41" spans="2:3" ht="18" x14ac:dyDescent="0.3">
      <c r="B41" s="1">
        <v>40</v>
      </c>
      <c r="C41" s="1">
        <v>52</v>
      </c>
    </row>
    <row r="42" spans="2:3" ht="18" x14ac:dyDescent="0.3">
      <c r="B42" s="1">
        <v>41</v>
      </c>
      <c r="C42" s="1">
        <v>52</v>
      </c>
    </row>
    <row r="43" spans="2:3" ht="18" x14ac:dyDescent="0.3">
      <c r="B43" s="1">
        <v>42</v>
      </c>
      <c r="C43" s="1">
        <v>52</v>
      </c>
    </row>
    <row r="44" spans="2:3" ht="18" x14ac:dyDescent="0.3">
      <c r="B44" s="1">
        <v>43</v>
      </c>
      <c r="C44" s="1">
        <v>52</v>
      </c>
    </row>
    <row r="45" spans="2:3" ht="18" x14ac:dyDescent="0.3">
      <c r="B45" s="1">
        <v>44</v>
      </c>
      <c r="C45" s="1">
        <v>52</v>
      </c>
    </row>
    <row r="46" spans="2:3" ht="18" x14ac:dyDescent="0.3">
      <c r="B46" s="1">
        <v>45</v>
      </c>
      <c r="C46" s="1">
        <v>52</v>
      </c>
    </row>
    <row r="47" spans="2:3" ht="18" x14ac:dyDescent="0.3">
      <c r="B47" s="1">
        <v>46</v>
      </c>
      <c r="C47" s="1">
        <v>52</v>
      </c>
    </row>
    <row r="48" spans="2:3" ht="18" x14ac:dyDescent="0.3">
      <c r="B48" s="1">
        <v>47</v>
      </c>
      <c r="C48" s="1">
        <v>52</v>
      </c>
    </row>
    <row r="49" spans="2:3" ht="18" x14ac:dyDescent="0.3">
      <c r="B49" s="1">
        <v>48</v>
      </c>
      <c r="C49" s="1">
        <v>52</v>
      </c>
    </row>
    <row r="50" spans="2:3" ht="18" x14ac:dyDescent="0.3">
      <c r="B50" s="1">
        <v>49</v>
      </c>
      <c r="C50" s="1">
        <v>53</v>
      </c>
    </row>
    <row r="51" spans="2:3" ht="18" x14ac:dyDescent="0.3">
      <c r="B51" s="1">
        <v>50</v>
      </c>
      <c r="C51" s="1">
        <v>53</v>
      </c>
    </row>
    <row r="52" spans="2:3" ht="18" x14ac:dyDescent="0.3">
      <c r="B52" s="1">
        <v>51</v>
      </c>
      <c r="C52" s="1">
        <v>53</v>
      </c>
    </row>
    <row r="53" spans="2:3" ht="18" x14ac:dyDescent="0.3">
      <c r="B53" s="1">
        <v>52</v>
      </c>
      <c r="C53" s="1">
        <v>53</v>
      </c>
    </row>
    <row r="54" spans="2:3" ht="18" x14ac:dyDescent="0.3">
      <c r="B54" s="1">
        <v>53</v>
      </c>
      <c r="C54" s="1">
        <v>54</v>
      </c>
    </row>
    <row r="55" spans="2:3" ht="18" x14ac:dyDescent="0.3">
      <c r="B55" s="1">
        <v>54</v>
      </c>
      <c r="C55" s="1">
        <v>54</v>
      </c>
    </row>
    <row r="56" spans="2:3" ht="18" x14ac:dyDescent="0.3">
      <c r="B56" s="1">
        <v>55</v>
      </c>
      <c r="C56" s="1">
        <v>54</v>
      </c>
    </row>
    <row r="57" spans="2:3" ht="18" x14ac:dyDescent="0.3">
      <c r="B57" s="1">
        <v>56</v>
      </c>
      <c r="C57" s="1">
        <v>54</v>
      </c>
    </row>
    <row r="58" spans="2:3" ht="18" x14ac:dyDescent="0.3">
      <c r="B58" s="1">
        <v>57</v>
      </c>
      <c r="C58" s="1">
        <v>54</v>
      </c>
    </row>
    <row r="59" spans="2:3" ht="18" x14ac:dyDescent="0.3">
      <c r="B59" s="1">
        <v>58</v>
      </c>
      <c r="C59" s="1">
        <v>54</v>
      </c>
    </row>
    <row r="60" spans="2:3" ht="18" x14ac:dyDescent="0.3">
      <c r="B60" s="1">
        <v>59</v>
      </c>
      <c r="C60" s="1">
        <v>55</v>
      </c>
    </row>
    <row r="61" spans="2:3" ht="18" x14ac:dyDescent="0.3">
      <c r="B61" s="1">
        <v>60</v>
      </c>
      <c r="C61" s="1">
        <v>55</v>
      </c>
    </row>
    <row r="62" spans="2:3" ht="18" x14ac:dyDescent="0.3">
      <c r="B62" s="1">
        <v>61</v>
      </c>
      <c r="C62" s="1">
        <v>55</v>
      </c>
    </row>
    <row r="63" spans="2:3" ht="18" x14ac:dyDescent="0.3">
      <c r="B63" s="1">
        <v>62</v>
      </c>
      <c r="C63" s="1">
        <v>55</v>
      </c>
    </row>
    <row r="64" spans="2:3" ht="18" x14ac:dyDescent="0.3">
      <c r="B64" s="1">
        <v>63</v>
      </c>
      <c r="C64" s="1">
        <v>55</v>
      </c>
    </row>
    <row r="65" spans="2:3" ht="18" x14ac:dyDescent="0.3">
      <c r="B65" s="1">
        <v>64</v>
      </c>
      <c r="C65" s="1">
        <v>55</v>
      </c>
    </row>
    <row r="66" spans="2:3" ht="18" x14ac:dyDescent="0.3">
      <c r="B66" s="1">
        <v>65</v>
      </c>
      <c r="C66" s="1">
        <v>55</v>
      </c>
    </row>
    <row r="67" spans="2:3" ht="18" x14ac:dyDescent="0.3">
      <c r="B67" s="1">
        <v>66</v>
      </c>
      <c r="C67" s="1">
        <v>55</v>
      </c>
    </row>
    <row r="68" spans="2:3" ht="18" x14ac:dyDescent="0.3">
      <c r="B68" s="1">
        <v>67</v>
      </c>
      <c r="C68" s="1">
        <v>56</v>
      </c>
    </row>
    <row r="69" spans="2:3" ht="18" x14ac:dyDescent="0.3">
      <c r="B69" s="1">
        <v>68</v>
      </c>
      <c r="C69" s="1">
        <v>56</v>
      </c>
    </row>
    <row r="70" spans="2:3" ht="18" x14ac:dyDescent="0.3">
      <c r="B70" s="1">
        <v>69</v>
      </c>
      <c r="C70" s="1">
        <v>56</v>
      </c>
    </row>
    <row r="71" spans="2:3" ht="18" x14ac:dyDescent="0.3">
      <c r="B71" s="1">
        <v>70</v>
      </c>
      <c r="C71" s="1">
        <v>56</v>
      </c>
    </row>
    <row r="72" spans="2:3" ht="18" x14ac:dyDescent="0.3">
      <c r="B72" s="1">
        <v>71</v>
      </c>
      <c r="C72" s="1">
        <v>56</v>
      </c>
    </row>
    <row r="73" spans="2:3" ht="18" x14ac:dyDescent="0.3">
      <c r="B73" s="1">
        <v>72</v>
      </c>
      <c r="C73" s="1">
        <v>57</v>
      </c>
    </row>
    <row r="74" spans="2:3" ht="18" x14ac:dyDescent="0.3">
      <c r="B74" s="1">
        <v>73</v>
      </c>
      <c r="C74" s="1">
        <v>57</v>
      </c>
    </row>
    <row r="75" spans="2:3" ht="18" x14ac:dyDescent="0.3">
      <c r="B75" s="1">
        <v>74</v>
      </c>
      <c r="C75" s="1">
        <v>57</v>
      </c>
    </row>
    <row r="76" spans="2:3" ht="18" x14ac:dyDescent="0.3">
      <c r="B76" s="1">
        <v>75</v>
      </c>
      <c r="C76" s="1">
        <v>57</v>
      </c>
    </row>
    <row r="77" spans="2:3" ht="18" x14ac:dyDescent="0.3">
      <c r="B77" s="1">
        <v>76</v>
      </c>
      <c r="C77" s="1">
        <v>57</v>
      </c>
    </row>
    <row r="78" spans="2:3" ht="18" x14ac:dyDescent="0.3">
      <c r="B78" s="1">
        <v>77</v>
      </c>
      <c r="C78" s="1">
        <v>57</v>
      </c>
    </row>
    <row r="79" spans="2:3" ht="18" x14ac:dyDescent="0.3">
      <c r="B79" s="1">
        <v>78</v>
      </c>
      <c r="C79" s="1">
        <v>57</v>
      </c>
    </row>
    <row r="80" spans="2:3" ht="18" x14ac:dyDescent="0.3">
      <c r="B80" s="1">
        <v>79</v>
      </c>
      <c r="C80" s="1">
        <v>58</v>
      </c>
    </row>
    <row r="81" spans="2:3" ht="18" x14ac:dyDescent="0.3">
      <c r="B81" s="1">
        <v>80</v>
      </c>
      <c r="C81" s="1">
        <v>58</v>
      </c>
    </row>
    <row r="82" spans="2:3" ht="18" x14ac:dyDescent="0.3">
      <c r="B82" s="1">
        <v>81</v>
      </c>
      <c r="C82" s="1">
        <v>58</v>
      </c>
    </row>
    <row r="83" spans="2:3" ht="18" x14ac:dyDescent="0.3">
      <c r="B83" s="1">
        <v>82</v>
      </c>
      <c r="C83" s="1">
        <v>58</v>
      </c>
    </row>
    <row r="84" spans="2:3" ht="18" x14ac:dyDescent="0.3">
      <c r="B84" s="1">
        <v>83</v>
      </c>
      <c r="C84" s="1">
        <v>58</v>
      </c>
    </row>
    <row r="85" spans="2:3" ht="18" x14ac:dyDescent="0.3">
      <c r="B85" s="1">
        <v>84</v>
      </c>
      <c r="C85" s="1">
        <v>58</v>
      </c>
    </row>
    <row r="86" spans="2:3" ht="18" x14ac:dyDescent="0.3">
      <c r="B86" s="1">
        <v>85</v>
      </c>
      <c r="C86" s="1">
        <v>58</v>
      </c>
    </row>
    <row r="87" spans="2:3" ht="18" x14ac:dyDescent="0.3">
      <c r="B87" s="1">
        <v>86</v>
      </c>
      <c r="C87" s="1">
        <v>58</v>
      </c>
    </row>
    <row r="88" spans="2:3" ht="18" x14ac:dyDescent="0.3">
      <c r="B88" s="1">
        <v>87</v>
      </c>
      <c r="C88" s="1">
        <v>58</v>
      </c>
    </row>
    <row r="89" spans="2:3" ht="18" x14ac:dyDescent="0.3">
      <c r="B89" s="1">
        <v>88</v>
      </c>
      <c r="C89" s="1">
        <v>59</v>
      </c>
    </row>
    <row r="90" spans="2:3" ht="18" x14ac:dyDescent="0.3">
      <c r="B90" s="1">
        <v>89</v>
      </c>
      <c r="C90" s="1">
        <v>59</v>
      </c>
    </row>
    <row r="91" spans="2:3" ht="18" x14ac:dyDescent="0.3">
      <c r="B91" s="1">
        <v>90</v>
      </c>
      <c r="C91" s="1">
        <v>59</v>
      </c>
    </row>
    <row r="92" spans="2:3" ht="18" x14ac:dyDescent="0.3">
      <c r="B92" s="1">
        <v>91</v>
      </c>
      <c r="C92" s="1">
        <v>59</v>
      </c>
    </row>
    <row r="93" spans="2:3" ht="18" x14ac:dyDescent="0.3">
      <c r="B93" s="1">
        <v>92</v>
      </c>
      <c r="C93" s="1">
        <v>59</v>
      </c>
    </row>
    <row r="94" spans="2:3" ht="18" x14ac:dyDescent="0.3">
      <c r="B94" s="1">
        <v>93</v>
      </c>
      <c r="C94" s="1">
        <v>59</v>
      </c>
    </row>
    <row r="95" spans="2:3" ht="18" x14ac:dyDescent="0.3">
      <c r="B95" s="1">
        <v>94</v>
      </c>
      <c r="C95" s="1">
        <v>60</v>
      </c>
    </row>
    <row r="96" spans="2:3" ht="18" x14ac:dyDescent="0.3">
      <c r="B96" s="1">
        <v>95</v>
      </c>
      <c r="C96" s="1">
        <v>60</v>
      </c>
    </row>
    <row r="97" spans="2:3" ht="18" x14ac:dyDescent="0.3">
      <c r="B97" s="1">
        <v>96</v>
      </c>
      <c r="C97" s="1">
        <v>60</v>
      </c>
    </row>
    <row r="98" spans="2:3" ht="18" x14ac:dyDescent="0.3">
      <c r="B98" s="1">
        <v>97</v>
      </c>
      <c r="C98" s="1">
        <v>60</v>
      </c>
    </row>
    <row r="99" spans="2:3" ht="18" x14ac:dyDescent="0.3">
      <c r="B99" s="1">
        <v>98</v>
      </c>
      <c r="C99" s="1">
        <v>61</v>
      </c>
    </row>
    <row r="100" spans="2:3" ht="18" x14ac:dyDescent="0.3">
      <c r="B100" s="1">
        <v>99</v>
      </c>
      <c r="C100" s="1">
        <v>61</v>
      </c>
    </row>
    <row r="101" spans="2:3" ht="18" x14ac:dyDescent="0.3">
      <c r="B101" s="1">
        <v>100</v>
      </c>
      <c r="C101" s="1">
        <v>61</v>
      </c>
    </row>
  </sheetData>
  <sortState ref="C2:C101">
    <sortCondition ref="C1"/>
  </sortState>
  <pageMargins left="0.7" right="0.7" top="0.75" bottom="0.75" header="0.3" footer="0.3"/>
  <pageSetup paperSize="9" orientation="portrait" horizontalDpi="18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2026-09-23T09:55:51Z</dcterms:modified>
</cp:coreProperties>
</file>